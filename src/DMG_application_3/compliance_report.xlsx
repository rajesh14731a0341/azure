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iance Detail" sheetId="1" state="visible" r:id="rId1"/>
    <sheet name="Summary" sheetId="2" state="visible" r:id="rId2"/>
  </sheets>
  <definedNames>
    <definedName name="_xlnm._FilterDatabase" localSheetId="0" hidden="1">'Compliance Detail'!$A$3:$O$3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FFFFFFFF"/>
      <sz val="12"/>
    </font>
    <font>
      <name val="Arial"/>
      <b val="1"/>
      <color rgb="FFFFFFFF"/>
      <sz val="9"/>
    </font>
    <font>
      <name val="Arial"/>
      <color rgb="FF000000"/>
      <sz val="9"/>
    </font>
    <font>
      <name val="Arial"/>
      <color rgb="FFFF0000"/>
      <sz val="9"/>
    </font>
    <font>
      <name val="Arial"/>
      <b val="1"/>
      <color rgb="FF375623"/>
      <sz val="9"/>
    </font>
    <font>
      <name val="Arial"/>
      <b val="1"/>
      <color rgb="FFFF0000"/>
      <sz val="9"/>
    </font>
    <font>
      <name val="Arial"/>
      <b val="1"/>
      <color rgb="FFBF8F00"/>
      <sz val="9"/>
    </font>
    <font>
      <name val="Arial"/>
      <b val="1"/>
      <sz val="9"/>
    </font>
    <font>
      <name val="Arial"/>
      <b val="1"/>
      <color rgb="FFFFFFFF"/>
      <sz val="10"/>
    </font>
  </fonts>
  <fills count="14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4472C4"/>
      </patternFill>
    </fill>
    <fill>
      <patternFill patternType="solid">
        <fgColor rgb="FF538135"/>
      </patternFill>
    </fill>
    <fill>
      <patternFill patternType="solid">
        <fgColor rgb="FF70AD47"/>
      </patternFill>
    </fill>
    <fill>
      <patternFill patternType="solid">
        <fgColor rgb="FF7030A0"/>
      </patternFill>
    </fill>
    <fill>
      <patternFill patternType="solid">
        <fgColor rgb="FFF2F2F2"/>
      </patternFill>
    </fill>
    <fill>
      <patternFill patternType="solid">
        <fgColor rgb="FFFF0000"/>
      </patternFill>
    </fill>
    <fill>
      <patternFill patternType="solid">
        <fgColor rgb="FFFFFFFF"/>
      </patternFill>
    </fill>
    <fill>
      <patternFill patternType="solid">
        <fgColor rgb="FFFFC000"/>
      </patternFill>
    </fill>
    <fill>
      <patternFill patternType="solid">
        <fgColor rgb="FF00B050"/>
      </patternFill>
    </fill>
    <fill>
      <patternFill patternType="solid">
        <fgColor rgb="FFBF8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164" fontId="8" fillId="10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164" fontId="9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0" customWidth="1" min="3" max="3"/>
    <col width="36" customWidth="1" min="4" max="4"/>
    <col width="24" customWidth="1" min="5" max="5"/>
    <col width="10" customWidth="1" min="6" max="6"/>
    <col width="14" customWidth="1" min="7" max="7"/>
    <col width="36" customWidth="1" min="8" max="8"/>
    <col width="24" customWidth="1" min="9" max="9"/>
    <col width="16" customWidth="1" min="10" max="10"/>
    <col width="14" customWidth="1" min="11" max="11"/>
    <col width="42" customWidth="1" min="12" max="12"/>
    <col width="12" customWidth="1" min="13" max="13"/>
    <col width="13" customWidth="1" min="14" max="14"/>
    <col width="54" customWidth="1" min="15" max="15"/>
  </cols>
  <sheetData>
    <row r="1" ht="26" customHeight="1">
      <c r="A1" s="1" t="inlineStr">
        <is>
          <t>PURVIEW COMPLIANCE REPORT  —  Generated: 2026-04-30 09:43:57</t>
        </is>
      </c>
    </row>
    <row r="2" ht="18" customHeight="1">
      <c r="A2" s="2" t="inlineStr">
        <is>
          <t>FROM YAML  (Master / Reference)</t>
        </is>
      </c>
      <c r="H2" s="3" t="inlineStr">
        <is>
          <t>FROM PURVIEW SNAPSHOT  (Classification-based)</t>
        </is>
      </c>
      <c r="L2" s="4" t="inlineStr">
        <is>
          <t>COLLECTION PATH</t>
        </is>
      </c>
      <c r="M2" s="5" t="inlineStr">
        <is>
          <t>YAML VERSION</t>
        </is>
      </c>
      <c r="N2" s="6" t="inlineStr">
        <is>
          <t>COMPLIANCE RESULT</t>
        </is>
      </c>
    </row>
    <row r="3" ht="36" customHeight="1">
      <c r="A3" s="7" t="inlineStr">
        <is>
          <t>DMG Name</t>
        </is>
      </c>
      <c r="B3" s="7" t="inlineStr">
        <is>
          <t>Application Name</t>
        </is>
      </c>
      <c r="C3" s="7" t="inlineStr">
        <is>
          <t>Region</t>
        </is>
      </c>
      <c r="D3" s="7" t="inlineStr">
        <is>
          <t>YAML Purview Classification</t>
        </is>
      </c>
      <c r="E3" s="7" t="inlineStr">
        <is>
          <t>YAML Sensitivity Label</t>
        </is>
      </c>
      <c r="F3" s="7" t="inlineStr">
        <is>
          <t>YAML Status</t>
        </is>
      </c>
      <c r="G3" s="7" t="inlineStr">
        <is>
          <t>YAML Effective Date</t>
        </is>
      </c>
      <c r="H3" s="8" t="inlineStr">
        <is>
          <t>Purview Classification
(Matched)</t>
        </is>
      </c>
      <c r="I3" s="8" t="inlineStr">
        <is>
          <t>Purview Sensitivity</t>
        </is>
      </c>
      <c r="J3" s="8" t="inlineStr">
        <is>
          <t>Purview Column Count
(with Classification)</t>
        </is>
      </c>
      <c r="K3" s="8" t="inlineStr">
        <is>
          <t>Purview Asset Count
(with Classification)</t>
        </is>
      </c>
      <c r="L3" s="9" t="inlineStr">
        <is>
          <t>Collection Path(s)</t>
        </is>
      </c>
      <c r="M3" s="10" t="inlineStr">
        <is>
          <t>YAML Version</t>
        </is>
      </c>
      <c r="N3" s="11" t="inlineStr">
        <is>
          <t>Compliance</t>
        </is>
      </c>
      <c r="O3" s="11" t="inlineStr">
        <is>
          <t>Reason (if Non-Compliant)</t>
        </is>
      </c>
    </row>
    <row r="4" ht="18" customHeight="1">
      <c r="A4" s="12" t="inlineStr">
        <is>
          <t>DMG0002303</t>
        </is>
      </c>
      <c r="B4" s="13" t="inlineStr">
        <is>
          <t>Fusion - ACHplus (Product)</t>
        </is>
      </c>
      <c r="C4" s="12" t="inlineStr">
        <is>
          <t>US</t>
        </is>
      </c>
      <c r="D4" s="13" t="inlineStr">
        <is>
          <t>MICROSOFT.FINANCIAL.US.ABA_ROUTING_NUMBER</t>
        </is>
      </c>
      <c r="E4" s="13" t="inlineStr">
        <is>
          <t>Restricted</t>
        </is>
      </c>
      <c r="F4" s="13" t="inlineStr">
        <is>
          <t>active</t>
        </is>
      </c>
      <c r="G4" s="12" t="inlineStr">
        <is>
          <t>2026-04-22</t>
        </is>
      </c>
      <c r="H4" s="13" t="inlineStr">
        <is>
          <t>MICROSOFT.FINANCIAL.US.ABA_ROUTING_NUMBER</t>
        </is>
      </c>
      <c r="I4" s="13" t="inlineStr"/>
      <c r="J4" s="12" t="n">
        <v>1</v>
      </c>
      <c r="K4" s="12" t="n">
        <v>1</v>
      </c>
      <c r="L4" s="14" t="inlineStr">
        <is>
          <t>POC_Finastra / UK Region</t>
        </is>
      </c>
      <c r="M4" s="12" t="inlineStr">
        <is>
          <t>1.0.0</t>
        </is>
      </c>
      <c r="N4" s="15" t="inlineStr">
        <is>
          <t>NO</t>
        </is>
      </c>
      <c r="O4" s="14" t="inlineStr">
        <is>
          <t>Sensitivity label: expected 'Restricted', Purview has '(none)' across 1 column(s)</t>
        </is>
      </c>
    </row>
    <row r="5" ht="18" customHeight="1">
      <c r="A5" s="16" t="inlineStr">
        <is>
          <t>DMG0002303</t>
        </is>
      </c>
      <c r="B5" s="17" t="inlineStr">
        <is>
          <t>Fusion - ACHplus (Product)</t>
        </is>
      </c>
      <c r="C5" s="16" t="inlineStr">
        <is>
          <t>US</t>
        </is>
      </c>
      <c r="D5" s="17" t="inlineStr">
        <is>
          <t>MICROSOFT.FINANCIAL.US.BANK_ACCOUNT_NUMBER</t>
        </is>
      </c>
      <c r="E5" s="17" t="inlineStr">
        <is>
          <t>Restricted</t>
        </is>
      </c>
      <c r="F5" s="17" t="inlineStr">
        <is>
          <t>active</t>
        </is>
      </c>
      <c r="G5" s="16" t="inlineStr">
        <is>
          <t>2026-04-22</t>
        </is>
      </c>
      <c r="H5" s="17" t="inlineStr">
        <is>
          <t>MICROSOFT.FINANCIAL.US.BANK_ACCOUNT_NUMBER</t>
        </is>
      </c>
      <c r="I5" s="17" t="inlineStr"/>
      <c r="J5" s="16" t="n">
        <v>2</v>
      </c>
      <c r="K5" s="16" t="n">
        <v>2</v>
      </c>
      <c r="L5" s="18" t="inlineStr">
        <is>
          <t>POC_Finastra / UK Region; POC_Finastra / Azure SQL Task</t>
        </is>
      </c>
      <c r="M5" s="16" t="inlineStr">
        <is>
          <t>1.0.0</t>
        </is>
      </c>
      <c r="N5" s="15" t="inlineStr">
        <is>
          <t>NO</t>
        </is>
      </c>
      <c r="O5" s="18" t="inlineStr">
        <is>
          <t>Sensitivity label: expected 'Restricted', Purview has '(none)' across 2 column(s)</t>
        </is>
      </c>
    </row>
    <row r="6" ht="18" customHeight="1">
      <c r="A6" s="19" t="inlineStr">
        <is>
          <t>DMG0002303</t>
        </is>
      </c>
      <c r="B6" s="20" t="inlineStr">
        <is>
          <t>Fusion - ACHplus (Product)</t>
        </is>
      </c>
      <c r="C6" s="19" t="inlineStr">
        <is>
          <t>US</t>
        </is>
      </c>
      <c r="D6" s="20" t="inlineStr">
        <is>
          <t>ACH Routing Numbers</t>
        </is>
      </c>
      <c r="E6" s="20" t="inlineStr">
        <is>
          <t>Restricted</t>
        </is>
      </c>
      <c r="F6" s="20" t="inlineStr">
        <is>
          <t>active</t>
        </is>
      </c>
      <c r="G6" s="19" t="inlineStr">
        <is>
          <t>2026-04-22</t>
        </is>
      </c>
      <c r="H6" s="21" t="inlineStr"/>
      <c r="I6" s="20" t="inlineStr"/>
      <c r="J6" s="15" t="n">
        <v>0</v>
      </c>
      <c r="K6" s="15" t="n">
        <v>0</v>
      </c>
      <c r="L6" s="22" t="inlineStr"/>
      <c r="M6" s="19" t="inlineStr">
        <is>
          <t>1.0.0</t>
        </is>
      </c>
      <c r="N6" s="15" t="inlineStr">
        <is>
          <t>NO</t>
        </is>
      </c>
      <c r="O6" s="22" t="inlineStr">
        <is>
          <t>Classification 'ACH Routing Numbers' is NOT found in any Purview column — 0 columns, 0 assets</t>
        </is>
      </c>
    </row>
    <row r="7" ht="18" customHeight="1">
      <c r="A7" s="19" t="inlineStr">
        <is>
          <t>DMG0002303</t>
        </is>
      </c>
      <c r="B7" s="20" t="inlineStr">
        <is>
          <t>Fusion - ACHplus (Product)</t>
        </is>
      </c>
      <c r="C7" s="19" t="inlineStr">
        <is>
          <t>US</t>
        </is>
      </c>
      <c r="D7" s="20" t="inlineStr">
        <is>
          <t>Customer Name</t>
        </is>
      </c>
      <c r="E7" s="20" t="inlineStr">
        <is>
          <t>Restricted</t>
        </is>
      </c>
      <c r="F7" s="20" t="inlineStr">
        <is>
          <t>active</t>
        </is>
      </c>
      <c r="G7" s="19" t="inlineStr">
        <is>
          <t>2026-04-22</t>
        </is>
      </c>
      <c r="H7" s="21" t="inlineStr"/>
      <c r="I7" s="20" t="inlineStr"/>
      <c r="J7" s="15" t="n">
        <v>0</v>
      </c>
      <c r="K7" s="15" t="n">
        <v>0</v>
      </c>
      <c r="L7" s="22" t="inlineStr"/>
      <c r="M7" s="19" t="inlineStr">
        <is>
          <t>1.0.0</t>
        </is>
      </c>
      <c r="N7" s="15" t="inlineStr">
        <is>
          <t>NO</t>
        </is>
      </c>
      <c r="O7" s="22" t="inlineStr">
        <is>
          <t>Classification 'Customer Name' is NOT found in any Purview column — 0 columns, 0 assets</t>
        </is>
      </c>
    </row>
    <row r="8" ht="18" customHeight="1">
      <c r="A8" s="12" t="inlineStr">
        <is>
          <t>DMG0002303</t>
        </is>
      </c>
      <c r="B8" s="13" t="inlineStr">
        <is>
          <t>Fusion - ACHplus (Product)</t>
        </is>
      </c>
      <c r="C8" s="12" t="inlineStr">
        <is>
          <t>US</t>
        </is>
      </c>
      <c r="D8" s="13" t="inlineStr">
        <is>
          <t>MICROSOFT.PERSONAL.NAME</t>
        </is>
      </c>
      <c r="E8" s="13" t="inlineStr">
        <is>
          <t>Restricted</t>
        </is>
      </c>
      <c r="F8" s="13" t="inlineStr">
        <is>
          <t>active</t>
        </is>
      </c>
      <c r="G8" s="12" t="inlineStr">
        <is>
          <t>2026-04-22</t>
        </is>
      </c>
      <c r="H8" s="13" t="inlineStr">
        <is>
          <t>MICROSOFT.PERSONAL.NAME</t>
        </is>
      </c>
      <c r="I8" s="13" t="inlineStr"/>
      <c r="J8" s="12" t="n">
        <v>104</v>
      </c>
      <c r="K8" s="12" t="n">
        <v>78</v>
      </c>
      <c r="L8" s="14" t="inlineStr">
        <is>
          <t>POC_Finastra / Azure SQL Task; POC_Finastra / UK Region; POC_Finastra / Lending-POS  (+75 more)</t>
        </is>
      </c>
      <c r="M8" s="12" t="inlineStr">
        <is>
          <t>1.0.0</t>
        </is>
      </c>
      <c r="N8" s="15" t="inlineStr">
        <is>
          <t>NO</t>
        </is>
      </c>
      <c r="O8" s="14" t="inlineStr">
        <is>
          <t>Sensitivity label: expected 'Restricted', Purview has '(none)' across 104 column(s)</t>
        </is>
      </c>
    </row>
    <row r="9" ht="18" customHeight="1">
      <c r="A9" s="19" t="inlineStr">
        <is>
          <t>DMG0002303</t>
        </is>
      </c>
      <c r="B9" s="20" t="inlineStr">
        <is>
          <t>Fusion - ACHplus (Product)</t>
        </is>
      </c>
      <c r="C9" s="19" t="inlineStr">
        <is>
          <t>US</t>
        </is>
      </c>
      <c r="D9" s="20" t="inlineStr">
        <is>
          <t>N/A</t>
        </is>
      </c>
      <c r="E9" s="20" t="inlineStr">
        <is>
          <t>Internal Use Only</t>
        </is>
      </c>
      <c r="F9" s="20" t="inlineStr">
        <is>
          <t>active</t>
        </is>
      </c>
      <c r="G9" s="19" t="inlineStr">
        <is>
          <t>2026-04-22</t>
        </is>
      </c>
      <c r="H9" s="21" t="inlineStr"/>
      <c r="I9" s="20" t="inlineStr"/>
      <c r="J9" s="15" t="n">
        <v>0</v>
      </c>
      <c r="K9" s="15" t="n">
        <v>0</v>
      </c>
      <c r="L9" s="22" t="inlineStr"/>
      <c r="M9" s="19" t="inlineStr">
        <is>
          <t>1.0.0</t>
        </is>
      </c>
      <c r="N9" s="15" t="inlineStr">
        <is>
          <t>NO</t>
        </is>
      </c>
      <c r="O9" s="22" t="inlineStr">
        <is>
          <t>Purview classification is N/A (not available) — a valid classification must be defined for this column</t>
        </is>
      </c>
    </row>
    <row r="10" ht="18" customHeight="1">
      <c r="A10" s="12" t="inlineStr">
        <is>
          <t>DMG0002303</t>
        </is>
      </c>
      <c r="B10" s="13" t="inlineStr">
        <is>
          <t>Fusion - ACHplus (Product)</t>
        </is>
      </c>
      <c r="C10" s="12" t="inlineStr">
        <is>
          <t>US</t>
        </is>
      </c>
      <c r="D10" s="13" t="inlineStr">
        <is>
          <t>MICROSOFT.PERSONAL.NAME</t>
        </is>
      </c>
      <c r="E10" s="13" t="inlineStr">
        <is>
          <t>Restricted</t>
        </is>
      </c>
      <c r="F10" s="13" t="inlineStr">
        <is>
          <t>active</t>
        </is>
      </c>
      <c r="G10" s="12" t="inlineStr">
        <is>
          <t>2026-04-22</t>
        </is>
      </c>
      <c r="H10" s="13" t="inlineStr">
        <is>
          <t>MICROSOFT.PERSONAL.NAME</t>
        </is>
      </c>
      <c r="I10" s="13" t="inlineStr"/>
      <c r="J10" s="12" t="n">
        <v>104</v>
      </c>
      <c r="K10" s="12" t="n">
        <v>78</v>
      </c>
      <c r="L10" s="14" t="inlineStr">
        <is>
          <t>POC_Finastra / Azure SQL Task; POC_Finastra / UK Region; POC_Finastra / Lending-POS  (+75 more)</t>
        </is>
      </c>
      <c r="M10" s="12" t="inlineStr">
        <is>
          <t>1.0.0</t>
        </is>
      </c>
      <c r="N10" s="15" t="inlineStr">
        <is>
          <t>NO</t>
        </is>
      </c>
      <c r="O10" s="14" t="inlineStr">
        <is>
          <t>Sensitivity label: expected 'Restricted', Purview has '(none)' across 104 column(s)</t>
        </is>
      </c>
    </row>
    <row r="11" ht="18" customHeight="1">
      <c r="A11" s="19" t="inlineStr">
        <is>
          <t>DMG0002303</t>
        </is>
      </c>
      <c r="B11" s="20" t="inlineStr">
        <is>
          <t>Fusion - ACHplus (Product)</t>
        </is>
      </c>
      <c r="C11" s="19" t="inlineStr">
        <is>
          <t>US</t>
        </is>
      </c>
      <c r="D11" s="20" t="inlineStr">
        <is>
          <t>Transaction Amount</t>
        </is>
      </c>
      <c r="E11" s="20" t="inlineStr">
        <is>
          <t>Internal Use Only</t>
        </is>
      </c>
      <c r="F11" s="20" t="inlineStr">
        <is>
          <t>active</t>
        </is>
      </c>
      <c r="G11" s="19" t="inlineStr">
        <is>
          <t>2026-04-22</t>
        </is>
      </c>
      <c r="H11" s="21" t="inlineStr"/>
      <c r="I11" s="20" t="inlineStr"/>
      <c r="J11" s="15" t="n">
        <v>0</v>
      </c>
      <c r="K11" s="15" t="n">
        <v>0</v>
      </c>
      <c r="L11" s="22" t="inlineStr"/>
      <c r="M11" s="19" t="inlineStr">
        <is>
          <t>1.0.0</t>
        </is>
      </c>
      <c r="N11" s="15" t="inlineStr">
        <is>
          <t>NO</t>
        </is>
      </c>
      <c r="O11" s="22" t="inlineStr">
        <is>
          <t>Classification 'Transaction Amount' is NOT found in any Purview column — 0 columns, 0 assets</t>
        </is>
      </c>
    </row>
  </sheetData>
  <autoFilter ref="A3:O3"/>
  <mergeCells count="6">
    <mergeCell ref="N2:O2"/>
    <mergeCell ref="L2"/>
    <mergeCell ref="H2:K2"/>
    <mergeCell ref="A1:O1"/>
    <mergeCell ref="M2"/>
    <mergeCell ref="A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0" customWidth="1" min="3" max="3"/>
    <col width="14" customWidth="1" min="4" max="4"/>
    <col width="12" customWidth="1" min="5" max="5"/>
    <col width="16" customWidth="1" min="6" max="6"/>
    <col width="20" customWidth="1" min="7" max="7"/>
    <col width="16" customWidth="1" min="8" max="8"/>
  </cols>
  <sheetData>
    <row r="1" ht="26" customHeight="1">
      <c r="A1" s="1" t="inlineStr">
        <is>
          <t>COMPLIANCE SUMMARY  —  Per DMG / Application</t>
        </is>
      </c>
    </row>
    <row r="2" ht="30" customHeight="1">
      <c r="A2" s="23" t="inlineStr">
        <is>
          <t>DMG Name</t>
        </is>
      </c>
      <c r="B2" s="23" t="inlineStr">
        <is>
          <t>Application Name</t>
        </is>
      </c>
      <c r="C2" s="23" t="inlineStr">
        <is>
          <t>Region</t>
        </is>
      </c>
      <c r="D2" s="23" t="inlineStr">
        <is>
          <t>Total Columns</t>
        </is>
      </c>
      <c r="E2" s="23" t="inlineStr">
        <is>
          <t>Compliant</t>
        </is>
      </c>
      <c r="F2" s="23" t="inlineStr">
        <is>
          <t>Non-Compliant</t>
        </is>
      </c>
      <c r="G2" s="23" t="inlineStr">
        <is>
          <t>Classification Not in Purview</t>
        </is>
      </c>
      <c r="H2" s="23" t="inlineStr">
        <is>
          <t>Compliance Rate</t>
        </is>
      </c>
    </row>
    <row r="3" ht="18" customHeight="1">
      <c r="A3" s="17" t="inlineStr">
        <is>
          <t>DMG0002303</t>
        </is>
      </c>
      <c r="B3" s="17" t="inlineStr">
        <is>
          <t>Fusion - ACHplus (Product)</t>
        </is>
      </c>
      <c r="C3" s="16" t="inlineStr">
        <is>
          <t>US</t>
        </is>
      </c>
      <c r="D3" s="16" t="n">
        <v>8</v>
      </c>
      <c r="E3" s="24" t="n">
        <v>0</v>
      </c>
      <c r="F3" s="25" t="n">
        <v>8</v>
      </c>
      <c r="G3" s="26" t="n">
        <v>4</v>
      </c>
      <c r="H3" s="27">
        <f>E3/D3</f>
        <v/>
      </c>
    </row>
    <row r="4">
      <c r="A4" s="23" t="inlineStr">
        <is>
          <t>TOTAL</t>
        </is>
      </c>
      <c r="D4" s="23">
        <f>SUM(D3:D3)</f>
        <v/>
      </c>
      <c r="E4" s="28">
        <f>SUM(E3:E3)</f>
        <v/>
      </c>
      <c r="F4" s="29">
        <f>SUM(F3:F3)</f>
        <v/>
      </c>
      <c r="G4" s="30">
        <f>SUM(G3:G3)</f>
        <v/>
      </c>
      <c r="H4" s="31">
        <f>E4/D4</f>
        <v/>
      </c>
    </row>
  </sheetData>
  <mergeCells count="2">
    <mergeCell ref="A4:C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2026-04-30T09:43:57Z</dcterms:created>
  <dcterms:modified xsi:type="dcterms:W3CDTF">2026-04-30T09:43:57Z</dcterms:modified>
</cp:coreProperties>
</file>