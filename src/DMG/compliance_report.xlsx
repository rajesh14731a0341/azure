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wavicledata-my.sharepoint.com/personal/rajesh_puchakayala_wavicledata_com/Documents/Desktop/project/perview/src/DMG/"/>
    </mc:Choice>
  </mc:AlternateContent>
  <xr:revisionPtr revIDLastSave="1" documentId="11_A94DACBF3771B96F844D75D62202A2578A463077" xr6:coauthVersionLast="47" xr6:coauthVersionMax="47" xr10:uidLastSave="{8ADD36D1-8069-4C90-A92F-9DF145F41600}"/>
  <bookViews>
    <workbookView xWindow="-114" yWindow="-114" windowWidth="27602" windowHeight="14927" xr2:uid="{00000000-000D-0000-FFFF-FFFF00000000}"/>
  </bookViews>
  <sheets>
    <sheet name="Compliance Detail" sheetId="1" r:id="rId1"/>
    <sheet name="Summary" sheetId="2" r:id="rId2"/>
  </sheets>
  <definedNames>
    <definedName name="_xlnm._FilterDatabase" localSheetId="0" hidden="1">'Compliance Detail'!$A$3:$P$3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E4" i="2"/>
  <c r="D4" i="2"/>
  <c r="G4" i="2" s="1"/>
  <c r="C4" i="2"/>
  <c r="G3" i="2"/>
</calcChain>
</file>

<file path=xl/sharedStrings.xml><?xml version="1.0" encoding="utf-8"?>
<sst xmlns="http://schemas.openxmlformats.org/spreadsheetml/2006/main" count="127" uniqueCount="64">
  <si>
    <t>PURVIEW  ×  PIPEDA  COMPLIANCE REPORT  —  Generated: 2026-04-23 00:41:16</t>
  </si>
  <si>
    <t>FROM YAML  (Master / Reference)</t>
  </si>
  <si>
    <t>FROM PURVIEW SNAPSHOT  (Classification-based)</t>
  </si>
  <si>
    <t>COLLECTION PATH</t>
  </si>
  <si>
    <t>YAML VERSION</t>
  </si>
  <si>
    <t>COMPLIANCE RESULT</t>
  </si>
  <si>
    <t>DMG Name</t>
  </si>
  <si>
    <t>Application Name</t>
  </si>
  <si>
    <t>YAML Column Name</t>
  </si>
  <si>
    <t>PIPEDA Classification</t>
  </si>
  <si>
    <t>YAML Purview Classification</t>
  </si>
  <si>
    <t>YAML Sensitivity Label</t>
  </si>
  <si>
    <t>YAML Status</t>
  </si>
  <si>
    <t>YAML Effective Date</t>
  </si>
  <si>
    <t>Purview Classification
(Matched)</t>
  </si>
  <si>
    <t>Purview Sensitivity</t>
  </si>
  <si>
    <t>Purview Column Count
(with Classification)</t>
  </si>
  <si>
    <t>Purview Asset Count
(with Classification)</t>
  </si>
  <si>
    <t>Collection Path(s)</t>
  </si>
  <si>
    <t>YAML Version</t>
  </si>
  <si>
    <t>Compliance</t>
  </si>
  <si>
    <t>Reason (if Non-Compliant)</t>
  </si>
  <si>
    <t>DMG0002303</t>
  </si>
  <si>
    <t>Fusion - ACHplus (Product)</t>
  </si>
  <si>
    <t>ABA Routing Numbers</t>
  </si>
  <si>
    <t>Sensitive (PII)</t>
  </si>
  <si>
    <t>MICROSOFT.FINANCIAL.US.ABA_ROUTING_NUMBER</t>
  </si>
  <si>
    <t>Restricted</t>
  </si>
  <si>
    <t>active</t>
  </si>
  <si>
    <t>2026-04-22</t>
  </si>
  <si>
    <t>1.0.0</t>
  </si>
  <si>
    <t>NO</t>
  </si>
  <si>
    <t>Classification 'MICROSOFT.FINANCIAL.US.ABA_ROUTING_NUMBER' is NOT found in any Purview column — 0 columns, 0 assets</t>
  </si>
  <si>
    <t>Account_Number</t>
  </si>
  <si>
    <t>Highly Sensitive</t>
  </si>
  <si>
    <t>MICROSOFT.FINANCIAL.US.BANK_ACCOUNT_NUMBER</t>
  </si>
  <si>
    <t>POC_Finastra / Azure SQL Task</t>
  </si>
  <si>
    <t>Sensitivity label: expected 'Restricted', Purview has '(none)' across 1 column(s)</t>
  </si>
  <si>
    <t>ACH Routing Numbers</t>
  </si>
  <si>
    <t>ACH Routing Number</t>
  </si>
  <si>
    <t>Classification 'ACH Routing Number' is NOT found in any Purview column — 0 columns, 0 assets</t>
  </si>
  <si>
    <t>Customer_Name</t>
  </si>
  <si>
    <t>Customer Name</t>
  </si>
  <si>
    <t>Classification 'Customer Name' is NOT found in any Purview column — 0 columns, 0 assets</t>
  </si>
  <si>
    <t>First_Name</t>
  </si>
  <si>
    <t>MICROSOFT.PERSONAL.NAME</t>
  </si>
  <si>
    <t>POC_Finastra / Azure SQL Task  (+65 more)</t>
  </si>
  <si>
    <t>Sensitivity label: expected 'Restricted', Purview has '(none)' across 86 column(s)</t>
  </si>
  <si>
    <t>Free_Form_Text</t>
  </si>
  <si>
    <t>Non-sensitive</t>
  </si>
  <si>
    <t>N/A</t>
  </si>
  <si>
    <t>Internal Use Only</t>
  </si>
  <si>
    <t>Purview classification is N/A (not available) — a valid classification must be defined for this column</t>
  </si>
  <si>
    <t>Last_Name</t>
  </si>
  <si>
    <t>Transaction_Amount</t>
  </si>
  <si>
    <t>Transaction Amount</t>
  </si>
  <si>
    <t>Classification 'Transaction Amount' is NOT found in any Purview column — 0 columns, 0 assets</t>
  </si>
  <si>
    <t>COMPLIANCE SUMMARY  —  Per DMG / Application</t>
  </si>
  <si>
    <t>Total YAML Columns</t>
  </si>
  <si>
    <t>Compliant</t>
  </si>
  <si>
    <t>Non-Compliant</t>
  </si>
  <si>
    <t>Classification Not in Purview</t>
  </si>
  <si>
    <t>Compliance 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</si>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</sst>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color rgb="FFFF0000"/>
      <name val="Arial"/>
    </font>
    <font>
      <b/>
      <sz val="9"/>
      <color rgb="FF375623"/>
      <name val="Arial"/>
    </font>
    <font>
      <b/>
      <sz val="9"/>
      <color rgb="FFFF0000"/>
      <name val="Arial"/>
    </font>
    <font>
      <b/>
      <sz val="9"/>
      <color rgb="FFBF8F00"/>
      <name val="Arial"/>
    </font>
    <font>
      <b/>
      <sz val="9"/>
      <name val="Arial"/>
    </font>
    <font>
      <b/>
      <sz val="10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4472C4"/>
      </patternFill>
    </fill>
    <fill>
      <patternFill patternType="solid">
        <fgColor rgb="FF538135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B050"/>
      </patternFill>
    </fill>
    <fill>
      <patternFill patternType="solid">
        <fgColor rgb="FFBF8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G1" workbookViewId="0">
      <pane ySplit="3" topLeftCell="A4" activePane="bottomLeft" state="frozen"/>
      <selection pane="bottomLeft" activeCell="I15" sqref="I15"/>
    </sheetView>
  </sheetViews>
  <sheetFormatPr defaultRowHeight="14.3" x14ac:dyDescent="0.25"/>
  <cols>
    <col min="1" max="1" width="14" customWidth="1"/>
    <col min="2" max="4" width="26" customWidth="1"/>
    <col min="5" max="5" width="36" customWidth="1"/>
    <col min="6" max="6" width="24" customWidth="1"/>
    <col min="7" max="7" width="10" customWidth="1"/>
    <col min="8" max="8" width="14" customWidth="1"/>
    <col min="9" max="9" width="36" customWidth="1"/>
    <col min="10" max="10" width="24" customWidth="1"/>
    <col min="11" max="11" width="16" customWidth="1"/>
    <col min="12" max="12" width="14" customWidth="1"/>
    <col min="13" max="13" width="42" customWidth="1"/>
    <col min="14" max="14" width="12" customWidth="1"/>
    <col min="15" max="15" width="13" customWidth="1"/>
    <col min="16" max="16" width="77.85546875" customWidth="1"/>
  </cols>
  <sheetData>
    <row r="1" spans="1:16" ht="26.05" customHeight="1" x14ac:dyDescent="0.25">
      <c r="A1" s="30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6" ht="18" customHeight="1" x14ac:dyDescent="0.25">
      <c r="A2" s="28" t="s">
        <v>1</v>
      </c>
      <c r="B2" s="27"/>
      <c r="C2" s="27"/>
      <c r="D2" s="27"/>
      <c r="E2" s="27"/>
      <c r="F2" s="27"/>
      <c r="G2" s="27"/>
      <c r="H2" s="27"/>
      <c r="I2" s="31" t="s">
        <v>2</v>
      </c>
      <c r="J2" s="27"/>
      <c r="K2" s="27"/>
      <c r="L2" s="27"/>
      <c r="M2" s="29" t="s">
        <v>3</v>
      </c>
      <c r="N2" s="32" t="s">
        <v>4</v>
      </c>
      <c r="O2" s="26" t="s">
        <v>5</v>
      </c>
      <c r="P2" s="27"/>
    </row>
    <row r="3" spans="1:16" ht="36" customHeight="1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3" t="s">
        <v>18</v>
      </c>
      <c r="N3" s="4" t="s">
        <v>19</v>
      </c>
      <c r="O3" s="5" t="s">
        <v>20</v>
      </c>
      <c r="P3" s="5" t="s">
        <v>21</v>
      </c>
    </row>
    <row r="4" spans="1:16" ht="18" customHeight="1" x14ac:dyDescent="0.25">
      <c r="A4" s="6" t="s">
        <v>22</v>
      </c>
      <c r="B4" s="7" t="s">
        <v>23</v>
      </c>
      <c r="C4" s="7" t="s">
        <v>24</v>
      </c>
      <c r="D4" s="7" t="s">
        <v>25</v>
      </c>
      <c r="E4" s="7" t="s">
        <v>26</v>
      </c>
      <c r="F4" s="7" t="s">
        <v>27</v>
      </c>
      <c r="G4" s="6" t="s">
        <v>28</v>
      </c>
      <c r="H4" s="7" t="s">
        <v>29</v>
      </c>
      <c r="I4" s="8"/>
      <c r="J4" s="7"/>
      <c r="K4" s="9">
        <v>0</v>
      </c>
      <c r="L4" s="9">
        <v>0</v>
      </c>
      <c r="M4" s="10"/>
      <c r="N4" s="6" t="s">
        <v>30</v>
      </c>
      <c r="O4" s="9" t="s">
        <v>31</v>
      </c>
      <c r="P4" s="10" t="s">
        <v>32</v>
      </c>
    </row>
    <row r="5" spans="1:16" ht="18" customHeight="1" x14ac:dyDescent="0.25">
      <c r="A5" s="11" t="s">
        <v>22</v>
      </c>
      <c r="B5" s="12" t="s">
        <v>23</v>
      </c>
      <c r="C5" s="12" t="s">
        <v>33</v>
      </c>
      <c r="D5" s="12" t="s">
        <v>34</v>
      </c>
      <c r="E5" s="12" t="s">
        <v>35</v>
      </c>
      <c r="F5" s="12" t="s">
        <v>27</v>
      </c>
      <c r="G5" s="11" t="s">
        <v>28</v>
      </c>
      <c r="H5" s="12" t="s">
        <v>29</v>
      </c>
      <c r="I5" s="12" t="s">
        <v>35</v>
      </c>
      <c r="J5" s="12"/>
      <c r="K5" s="11">
        <v>1</v>
      </c>
      <c r="L5" s="11">
        <v>1</v>
      </c>
      <c r="M5" s="13" t="s">
        <v>36</v>
      </c>
      <c r="N5" s="11" t="s">
        <v>30</v>
      </c>
      <c r="O5" s="9" t="s">
        <v>31</v>
      </c>
      <c r="P5" s="13" t="s">
        <v>37</v>
      </c>
    </row>
    <row r="6" spans="1:16" ht="18" customHeight="1" x14ac:dyDescent="0.25">
      <c r="A6" s="6" t="s">
        <v>22</v>
      </c>
      <c r="B6" s="7" t="s">
        <v>23</v>
      </c>
      <c r="C6" s="7" t="s">
        <v>38</v>
      </c>
      <c r="D6" s="7" t="s">
        <v>25</v>
      </c>
      <c r="E6" s="7" t="s">
        <v>39</v>
      </c>
      <c r="F6" s="7" t="s">
        <v>27</v>
      </c>
      <c r="G6" s="6" t="s">
        <v>28</v>
      </c>
      <c r="H6" s="7" t="s">
        <v>29</v>
      </c>
      <c r="I6" s="8"/>
      <c r="J6" s="7"/>
      <c r="K6" s="9">
        <v>0</v>
      </c>
      <c r="L6" s="9">
        <v>0</v>
      </c>
      <c r="M6" s="10"/>
      <c r="N6" s="6" t="s">
        <v>30</v>
      </c>
      <c r="O6" s="9" t="s">
        <v>31</v>
      </c>
      <c r="P6" s="10" t="s">
        <v>40</v>
      </c>
    </row>
    <row r="7" spans="1:16" ht="18" customHeight="1" x14ac:dyDescent="0.25">
      <c r="A7" s="6" t="s">
        <v>22</v>
      </c>
      <c r="B7" s="7" t="s">
        <v>23</v>
      </c>
      <c r="C7" s="7" t="s">
        <v>41</v>
      </c>
      <c r="D7" s="7" t="s">
        <v>25</v>
      </c>
      <c r="E7" s="7" t="s">
        <v>42</v>
      </c>
      <c r="F7" s="7" t="s">
        <v>27</v>
      </c>
      <c r="G7" s="6" t="s">
        <v>28</v>
      </c>
      <c r="H7" s="7" t="s">
        <v>29</v>
      </c>
      <c r="I7" s="8"/>
      <c r="J7" s="7"/>
      <c r="K7" s="9">
        <v>0</v>
      </c>
      <c r="L7" s="9">
        <v>0</v>
      </c>
      <c r="M7" s="10"/>
      <c r="N7" s="6" t="s">
        <v>30</v>
      </c>
      <c r="O7" s="9" t="s">
        <v>31</v>
      </c>
      <c r="P7" s="10" t="s">
        <v>43</v>
      </c>
    </row>
    <row r="8" spans="1:16" ht="18" customHeight="1" x14ac:dyDescent="0.25">
      <c r="A8" s="14" t="s">
        <v>22</v>
      </c>
      <c r="B8" s="15" t="s">
        <v>23</v>
      </c>
      <c r="C8" s="15" t="s">
        <v>44</v>
      </c>
      <c r="D8" s="15" t="s">
        <v>25</v>
      </c>
      <c r="E8" s="15" t="s">
        <v>45</v>
      </c>
      <c r="F8" s="15" t="s">
        <v>27</v>
      </c>
      <c r="G8" s="14" t="s">
        <v>28</v>
      </c>
      <c r="H8" s="15" t="s">
        <v>29</v>
      </c>
      <c r="I8" s="15" t="s">
        <v>45</v>
      </c>
      <c r="J8" s="15"/>
      <c r="K8" s="14">
        <v>86</v>
      </c>
      <c r="L8" s="14">
        <v>68</v>
      </c>
      <c r="M8" s="16" t="s">
        <v>46</v>
      </c>
      <c r="N8" s="14" t="s">
        <v>30</v>
      </c>
      <c r="O8" s="9" t="s">
        <v>31</v>
      </c>
      <c r="P8" s="16" t="s">
        <v>47</v>
      </c>
    </row>
    <row r="9" spans="1:16" ht="18" customHeight="1" x14ac:dyDescent="0.25">
      <c r="A9" s="6" t="s">
        <v>22</v>
      </c>
      <c r="B9" s="7" t="s">
        <v>23</v>
      </c>
      <c r="C9" s="7" t="s">
        <v>48</v>
      </c>
      <c r="D9" s="7" t="s">
        <v>49</v>
      </c>
      <c r="E9" s="7" t="s">
        <v>50</v>
      </c>
      <c r="F9" s="7" t="s">
        <v>51</v>
      </c>
      <c r="G9" s="6" t="s">
        <v>28</v>
      </c>
      <c r="H9" s="7" t="s">
        <v>29</v>
      </c>
      <c r="I9" s="8"/>
      <c r="J9" s="7"/>
      <c r="K9" s="9">
        <v>0</v>
      </c>
      <c r="L9" s="9">
        <v>0</v>
      </c>
      <c r="M9" s="10"/>
      <c r="N9" s="6" t="s">
        <v>30</v>
      </c>
      <c r="O9" s="9" t="s">
        <v>31</v>
      </c>
      <c r="P9" s="10" t="s">
        <v>52</v>
      </c>
    </row>
    <row r="10" spans="1:16" ht="18" customHeight="1" x14ac:dyDescent="0.25">
      <c r="A10" s="14" t="s">
        <v>22</v>
      </c>
      <c r="B10" s="15" t="s">
        <v>23</v>
      </c>
      <c r="C10" s="15" t="s">
        <v>53</v>
      </c>
      <c r="D10" s="15" t="s">
        <v>25</v>
      </c>
      <c r="E10" s="15" t="s">
        <v>45</v>
      </c>
      <c r="F10" s="15" t="s">
        <v>27</v>
      </c>
      <c r="G10" s="14" t="s">
        <v>28</v>
      </c>
      <c r="H10" s="15" t="s">
        <v>29</v>
      </c>
      <c r="I10" s="15" t="s">
        <v>45</v>
      </c>
      <c r="J10" s="15"/>
      <c r="K10" s="14">
        <v>86</v>
      </c>
      <c r="L10" s="14">
        <v>68</v>
      </c>
      <c r="M10" s="16" t="s">
        <v>46</v>
      </c>
      <c r="N10" s="14" t="s">
        <v>30</v>
      </c>
      <c r="O10" s="9" t="s">
        <v>31</v>
      </c>
      <c r="P10" s="16" t="s">
        <v>47</v>
      </c>
    </row>
    <row r="11" spans="1:16" ht="18" customHeight="1" x14ac:dyDescent="0.25">
      <c r="A11" s="6" t="s">
        <v>22</v>
      </c>
      <c r="B11" s="7" t="s">
        <v>23</v>
      </c>
      <c r="C11" s="7" t="s">
        <v>54</v>
      </c>
      <c r="D11" s="7" t="s">
        <v>49</v>
      </c>
      <c r="E11" s="7" t="s">
        <v>55</v>
      </c>
      <c r="F11" s="7" t="s">
        <v>51</v>
      </c>
      <c r="G11" s="6" t="s">
        <v>28</v>
      </c>
      <c r="H11" s="7" t="s">
        <v>29</v>
      </c>
      <c r="I11" s="8"/>
      <c r="J11" s="7"/>
      <c r="K11" s="9">
        <v>0</v>
      </c>
      <c r="L11" s="9">
        <v>0</v>
      </c>
      <c r="M11" s="10"/>
      <c r="N11" s="6" t="s">
        <v>30</v>
      </c>
      <c r="O11" s="9" t="s">
        <v>31</v>
      </c>
      <c r="P11" s="10" t="s">
        <v>56</v>
      </c>
    </row>
  </sheetData>
  <autoFilter ref="A3:P3" xr:uid="{00000000-0009-0000-0000-000000000000}"/>
  <mergeCells count="6">
    <mergeCell ref="O2:P2"/>
    <mergeCell ref="A2:H2"/>
    <mergeCell ref="M2"/>
    <mergeCell ref="A1:O1"/>
    <mergeCell ref="I2:L2"/>
    <mergeCell ref="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pane ySplit="2" topLeftCell="A3" activePane="bottomLeft" state="frozen"/>
      <selection pane="bottomLeft"/>
    </sheetView>
  </sheetViews>
  <sheetFormatPr defaultRowHeight="14.3" x14ac:dyDescent="0.25"/>
  <cols>
    <col min="1" max="1" width="14" customWidth="1"/>
    <col min="2" max="2" width="30" customWidth="1"/>
    <col min="3" max="3" width="14" customWidth="1"/>
    <col min="4" max="4" width="12" customWidth="1"/>
    <col min="5" max="5" width="16" customWidth="1"/>
    <col min="6" max="6" width="20" customWidth="1"/>
    <col min="7" max="7" width="16" customWidth="1"/>
  </cols>
  <sheetData>
    <row r="1" spans="1:7" ht="26.05" customHeight="1" x14ac:dyDescent="0.25">
      <c r="A1" s="30" t="s">
        <v>57</v>
      </c>
      <c r="B1" s="27"/>
      <c r="C1" s="27"/>
      <c r="D1" s="27"/>
      <c r="E1" s="27"/>
      <c r="F1" s="27"/>
      <c r="G1" s="27"/>
    </row>
    <row r="2" spans="1:7" ht="29.95" customHeight="1" x14ac:dyDescent="0.25">
      <c r="A2" s="17" t="s">
        <v>6</v>
      </c>
      <c r="B2" s="17" t="s">
        <v>7</v>
      </c>
      <c r="C2" s="17" t="s">
        <v>58</v>
      </c>
      <c r="D2" s="17" t="s">
        <v>59</v>
      </c>
      <c r="E2" s="17" t="s">
        <v>60</v>
      </c>
      <c r="F2" s="17" t="s">
        <v>61</v>
      </c>
      <c r="G2" s="17" t="s">
        <v>62</v>
      </c>
    </row>
    <row r="3" spans="1:7" ht="18" customHeight="1" x14ac:dyDescent="0.25">
      <c r="A3" s="12" t="s">
        <v>22</v>
      </c>
      <c r="B3" s="12" t="s">
        <v>23</v>
      </c>
      <c r="C3" s="11">
        <v>8</v>
      </c>
      <c r="D3" s="18">
        <v>0</v>
      </c>
      <c r="E3" s="19">
        <v>8</v>
      </c>
      <c r="F3" s="20">
        <v>5</v>
      </c>
      <c r="G3" s="21">
        <f>D3/C3</f>
        <v>0</v>
      </c>
    </row>
    <row r="4" spans="1:7" x14ac:dyDescent="0.25">
      <c r="A4" s="33" t="s">
        <v>63</v>
      </c>
      <c r="B4" s="27"/>
      <c r="C4" s="17">
        <f>SUM(C3:C3)</f>
        <v>8</v>
      </c>
      <c r="D4" s="22">
        <f>SUM(D3:D3)</f>
        <v>0</v>
      </c>
      <c r="E4" s="23">
        <f>SUM(E3:E3)</f>
        <v>8</v>
      </c>
      <c r="F4" s="24">
        <f>SUM(F3:F3)</f>
        <v>5</v>
      </c>
      <c r="G4" s="25">
        <f>D4/C4</f>
        <v>0</v>
      </c>
    </row>
  </sheetData>
  <mergeCells count="2">
    <mergeCell ref="A4:B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Compliance Detail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Rajesh Puchakayala</cp:lastModifiedBy>
  <dcterms:created xsi:type="dcterms:W3CDTF">2026-04-23T00:41:16Z</dcterms:created>
  <dcterms:modified xsi:type="dcterms:W3CDTF">2026-04-23T00:43:07Z</dcterms:modified>
</cp:coreProperties>
</file>